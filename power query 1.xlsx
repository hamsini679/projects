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97\Desktop\"/>
    </mc:Choice>
  </mc:AlternateContent>
  <xr:revisionPtr revIDLastSave="0" documentId="13_ncr:1_{8E646675-BD1A-4D8C-BA46-D98BCA9D3733}" xr6:coauthVersionLast="47" xr6:coauthVersionMax="47" xr10:uidLastSave="{00000000-0000-0000-0000-000000000000}"/>
  <bookViews>
    <workbookView xWindow="-108" yWindow="-108" windowWidth="23256" windowHeight="12456" xr2:uid="{B9121A49-2CCD-4032-A0EF-A0AB2D0F5287}"/>
  </bookViews>
  <sheets>
    <sheet name="Sheet1" sheetId="1" r:id="rId1"/>
    <sheet name="global_mobile_prices" sheetId="2" r:id="rId2"/>
  </sheets>
  <definedNames>
    <definedName name="ExternalData_1" localSheetId="1" hidden="1">global_mobile_prices!$A$1:$O$17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2" i="1"/>
  <c r="C3" i="1"/>
  <c r="C4" i="1"/>
  <c r="C5" i="1"/>
  <c r="C6" i="1"/>
  <c r="C7" i="1"/>
  <c r="C8" i="1"/>
  <c r="C9" i="1"/>
  <c r="C2" i="1"/>
  <c r="B2" i="1"/>
  <c r="B3" i="1"/>
  <c r="B4" i="1"/>
  <c r="B5" i="1"/>
  <c r="B6" i="1"/>
  <c r="B7" i="1"/>
  <c r="B8" i="1"/>
  <c r="B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515D88-57B7-4A59-90AA-C6BD147265B9}" keepAlive="1" name="Query - Global_Mobile_Prices_2025_Exten" description="Connection to the 'Global_Mobile_Prices_2025_Exten' query in the workbook." type="5" refreshedVersion="8" background="1" saveData="1">
    <dbPr connection="Provider=Microsoft.Mashup.OleDb.1;Data Source=$Workbook$;Location=Global_Mobile_Prices_2025_Exten;Extended Properties=&quot;&quot;" command="SELECT * FROM [Global_Mobile_Prices_2025_Exten]"/>
  </connection>
</connections>
</file>

<file path=xl/sharedStrings.xml><?xml version="1.0" encoding="utf-8"?>
<sst xmlns="http://schemas.openxmlformats.org/spreadsheetml/2006/main" count="179" uniqueCount="63">
  <si>
    <t>brand</t>
  </si>
  <si>
    <t>model</t>
  </si>
  <si>
    <t>price_usd</t>
  </si>
  <si>
    <t>ram_gb</t>
  </si>
  <si>
    <t>storage_gb</t>
  </si>
  <si>
    <t>camera_mp</t>
  </si>
  <si>
    <t>battery_mah</t>
  </si>
  <si>
    <t>display_size_inch</t>
  </si>
  <si>
    <t>charging_watt</t>
  </si>
  <si>
    <t>5g_support</t>
  </si>
  <si>
    <t>os</t>
  </si>
  <si>
    <t>processor</t>
  </si>
  <si>
    <t>rating</t>
  </si>
  <si>
    <t>release_month</t>
  </si>
  <si>
    <t>year</t>
  </si>
  <si>
    <t>Oppo</t>
  </si>
  <si>
    <t>A98 111</t>
  </si>
  <si>
    <t>Yes</t>
  </si>
  <si>
    <t>Android</t>
  </si>
  <si>
    <t>Helio G99</t>
  </si>
  <si>
    <t>February</t>
  </si>
  <si>
    <t>Realme</t>
  </si>
  <si>
    <t>11 Pro+ 843</t>
  </si>
  <si>
    <t>Tensor G4</t>
  </si>
  <si>
    <t>August</t>
  </si>
  <si>
    <t>Xiaomi</t>
  </si>
  <si>
    <t>Redmi Note 14 Pro 461</t>
  </si>
  <si>
    <t>A18 Pro</t>
  </si>
  <si>
    <t>March</t>
  </si>
  <si>
    <t>Apple</t>
  </si>
  <si>
    <t>iPhone 16 Pro Max 927</t>
  </si>
  <si>
    <t>iOS</t>
  </si>
  <si>
    <t>Dimensity 9300</t>
  </si>
  <si>
    <t>OnePlus</t>
  </si>
  <si>
    <t>Nord 4 295</t>
  </si>
  <si>
    <t>No</t>
  </si>
  <si>
    <t>Exynos 2400</t>
  </si>
  <si>
    <t>May</t>
  </si>
  <si>
    <t>iPhone 16 Pro Max 232</t>
  </si>
  <si>
    <t>November</t>
  </si>
  <si>
    <t>Infinix</t>
  </si>
  <si>
    <t>Hot 40 111</t>
  </si>
  <si>
    <t>July</t>
  </si>
  <si>
    <t>Vivo</t>
  </si>
  <si>
    <t>V30 400</t>
  </si>
  <si>
    <t>December</t>
  </si>
  <si>
    <t>Nord CE 4 Lite 503</t>
  </si>
  <si>
    <t>April</t>
  </si>
  <si>
    <t>OnePlus 12 729</t>
  </si>
  <si>
    <t>Snapdragon 7+ Gen 2</t>
  </si>
  <si>
    <t>January</t>
  </si>
  <si>
    <t>iPhone 14 328</t>
  </si>
  <si>
    <t>Snapdragon 6 Gen 1</t>
  </si>
  <si>
    <t>X100 Pro 546</t>
  </si>
  <si>
    <t>Zero 30 940</t>
  </si>
  <si>
    <t>June</t>
  </si>
  <si>
    <t>Google</t>
  </si>
  <si>
    <t>Pixel 9 879</t>
  </si>
  <si>
    <t>October</t>
  </si>
  <si>
    <t>C65 386</t>
  </si>
  <si>
    <t>Snapdragon 8 Gen 3</t>
  </si>
  <si>
    <t>OnePlus 13 787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</si>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</sst>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camera_mp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Oppo</c:v>
                </c:pt>
                <c:pt idx="1">
                  <c:v>Realme</c:v>
                </c:pt>
                <c:pt idx="2">
                  <c:v>Xiaomi</c:v>
                </c:pt>
                <c:pt idx="3">
                  <c:v>Apple</c:v>
                </c:pt>
                <c:pt idx="4">
                  <c:v>OnePlus</c:v>
                </c:pt>
                <c:pt idx="5">
                  <c:v>Infinix</c:v>
                </c:pt>
                <c:pt idx="6">
                  <c:v>Vivo</c:v>
                </c:pt>
                <c:pt idx="7">
                  <c:v>Google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108</c:v>
                </c:pt>
                <c:pt idx="1">
                  <c:v>172</c:v>
                </c:pt>
                <c:pt idx="2">
                  <c:v>64</c:v>
                </c:pt>
                <c:pt idx="3">
                  <c:v>276</c:v>
                </c:pt>
                <c:pt idx="4">
                  <c:v>664</c:v>
                </c:pt>
                <c:pt idx="5">
                  <c:v>212</c:v>
                </c:pt>
                <c:pt idx="6">
                  <c:v>400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F-449A-A5D4-1CD08A359FD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battery_mah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Oppo</c:v>
                </c:pt>
                <c:pt idx="1">
                  <c:v>Realme</c:v>
                </c:pt>
                <c:pt idx="2">
                  <c:v>Xiaomi</c:v>
                </c:pt>
                <c:pt idx="3">
                  <c:v>Apple</c:v>
                </c:pt>
                <c:pt idx="4">
                  <c:v>OnePlus</c:v>
                </c:pt>
                <c:pt idx="5">
                  <c:v>Infinix</c:v>
                </c:pt>
                <c:pt idx="6">
                  <c:v>Vivo</c:v>
                </c:pt>
                <c:pt idx="7">
                  <c:v>Google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6000</c:v>
                </c:pt>
                <c:pt idx="1">
                  <c:v>8500</c:v>
                </c:pt>
                <c:pt idx="2">
                  <c:v>4000</c:v>
                </c:pt>
                <c:pt idx="3">
                  <c:v>14000</c:v>
                </c:pt>
                <c:pt idx="4">
                  <c:v>20000</c:v>
                </c:pt>
                <c:pt idx="5">
                  <c:v>10500</c:v>
                </c:pt>
                <c:pt idx="6">
                  <c:v>10000</c:v>
                </c:pt>
                <c:pt idx="7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F-449A-A5D4-1CD08A359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178624"/>
        <c:axId val="1699177184"/>
      </c:barChart>
      <c:catAx>
        <c:axId val="169917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77184"/>
        <c:crosses val="autoZero"/>
        <c:auto val="1"/>
        <c:lblAlgn val="ctr"/>
        <c:lblOffset val="100"/>
        <c:noMultiLvlLbl val="0"/>
      </c:catAx>
      <c:valAx>
        <c:axId val="16991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7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price_usd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Sheet1!$O$2:$O$17</c:f>
              <c:strCache>
                <c:ptCount val="16"/>
                <c:pt idx="0">
                  <c:v>A98 111</c:v>
                </c:pt>
                <c:pt idx="1">
                  <c:v>11 Pro+ 843</c:v>
                </c:pt>
                <c:pt idx="2">
                  <c:v>Redmi Note 14 Pro 461</c:v>
                </c:pt>
                <c:pt idx="3">
                  <c:v>iPhone 16 Pro Max 927</c:v>
                </c:pt>
                <c:pt idx="4">
                  <c:v>Nord 4 295</c:v>
                </c:pt>
                <c:pt idx="5">
                  <c:v>iPhone 16 Pro Max 232</c:v>
                </c:pt>
                <c:pt idx="6">
                  <c:v>Hot 40 111</c:v>
                </c:pt>
                <c:pt idx="7">
                  <c:v>V30 400</c:v>
                </c:pt>
                <c:pt idx="8">
                  <c:v>Nord CE 4 Lite 503</c:v>
                </c:pt>
                <c:pt idx="9">
                  <c:v>OnePlus 12 729</c:v>
                </c:pt>
                <c:pt idx="10">
                  <c:v>iPhone 14 328</c:v>
                </c:pt>
                <c:pt idx="11">
                  <c:v>X100 Pro 546</c:v>
                </c:pt>
                <c:pt idx="12">
                  <c:v>Zero 30 940</c:v>
                </c:pt>
                <c:pt idx="13">
                  <c:v>Pixel 9 879</c:v>
                </c:pt>
                <c:pt idx="14">
                  <c:v>C65 386</c:v>
                </c:pt>
                <c:pt idx="15">
                  <c:v>OnePlus 13 787</c:v>
                </c:pt>
              </c:strCache>
            </c:strRef>
          </c:cat>
          <c:val>
            <c:numRef>
              <c:f>Sheet1!$P$2:$P$17</c:f>
              <c:numCache>
                <c:formatCode>General</c:formatCode>
                <c:ptCount val="16"/>
                <c:pt idx="0">
                  <c:v>855</c:v>
                </c:pt>
                <c:pt idx="1">
                  <c:v>618</c:v>
                </c:pt>
                <c:pt idx="2">
                  <c:v>258</c:v>
                </c:pt>
                <c:pt idx="3">
                  <c:v>335</c:v>
                </c:pt>
                <c:pt idx="4">
                  <c:v>938</c:v>
                </c:pt>
                <c:pt idx="5">
                  <c:v>1447</c:v>
                </c:pt>
                <c:pt idx="6">
                  <c:v>1354</c:v>
                </c:pt>
                <c:pt idx="7">
                  <c:v>223</c:v>
                </c:pt>
                <c:pt idx="8">
                  <c:v>642</c:v>
                </c:pt>
                <c:pt idx="9">
                  <c:v>127</c:v>
                </c:pt>
                <c:pt idx="10">
                  <c:v>868</c:v>
                </c:pt>
                <c:pt idx="11">
                  <c:v>412</c:v>
                </c:pt>
                <c:pt idx="12">
                  <c:v>1032</c:v>
                </c:pt>
                <c:pt idx="13">
                  <c:v>1190</c:v>
                </c:pt>
                <c:pt idx="14">
                  <c:v>361</c:v>
                </c:pt>
                <c:pt idx="15">
                  <c:v>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6-484B-BCA4-40B582D224FA}"/>
            </c:ext>
          </c:extLst>
        </c:ser>
        <c:ser>
          <c:idx val="1"/>
          <c:order val="1"/>
          <c:tx>
            <c:strRef>
              <c:f>Sheet1!$Q$1</c:f>
              <c:strCache>
                <c:ptCount val="1"/>
                <c:pt idx="0">
                  <c:v>ram_gb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Sheet1!$O$2:$O$17</c:f>
              <c:strCache>
                <c:ptCount val="16"/>
                <c:pt idx="0">
                  <c:v>A98 111</c:v>
                </c:pt>
                <c:pt idx="1">
                  <c:v>11 Pro+ 843</c:v>
                </c:pt>
                <c:pt idx="2">
                  <c:v>Redmi Note 14 Pro 461</c:v>
                </c:pt>
                <c:pt idx="3">
                  <c:v>iPhone 16 Pro Max 927</c:v>
                </c:pt>
                <c:pt idx="4">
                  <c:v>Nord 4 295</c:v>
                </c:pt>
                <c:pt idx="5">
                  <c:v>iPhone 16 Pro Max 232</c:v>
                </c:pt>
                <c:pt idx="6">
                  <c:v>Hot 40 111</c:v>
                </c:pt>
                <c:pt idx="7">
                  <c:v>V30 400</c:v>
                </c:pt>
                <c:pt idx="8">
                  <c:v>Nord CE 4 Lite 503</c:v>
                </c:pt>
                <c:pt idx="9">
                  <c:v>OnePlus 12 729</c:v>
                </c:pt>
                <c:pt idx="10">
                  <c:v>iPhone 14 328</c:v>
                </c:pt>
                <c:pt idx="11">
                  <c:v>X100 Pro 546</c:v>
                </c:pt>
                <c:pt idx="12">
                  <c:v>Zero 30 940</c:v>
                </c:pt>
                <c:pt idx="13">
                  <c:v>Pixel 9 879</c:v>
                </c:pt>
                <c:pt idx="14">
                  <c:v>C65 386</c:v>
                </c:pt>
                <c:pt idx="15">
                  <c:v>OnePlus 13 787</c:v>
                </c:pt>
              </c:strCache>
            </c:strRef>
          </c:cat>
          <c:val>
            <c:numRef>
              <c:f>Sheet1!$Q$2:$Q$17</c:f>
              <c:numCache>
                <c:formatCode>General</c:formatCode>
                <c:ptCount val="16"/>
                <c:pt idx="0">
                  <c:v>16</c:v>
                </c:pt>
                <c:pt idx="1">
                  <c:v>6</c:v>
                </c:pt>
                <c:pt idx="2">
                  <c:v>16</c:v>
                </c:pt>
                <c:pt idx="3">
                  <c:v>12</c:v>
                </c:pt>
                <c:pt idx="4">
                  <c:v>16</c:v>
                </c:pt>
                <c:pt idx="5">
                  <c:v>16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16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6-484B-BCA4-40B582D22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340672"/>
        <c:axId val="320476208"/>
      </c:barChart>
      <c:catAx>
        <c:axId val="1073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76208"/>
        <c:crosses val="autoZero"/>
        <c:auto val="1"/>
        <c:lblAlgn val="ctr"/>
        <c:lblOffset val="100"/>
        <c:noMultiLvlLbl val="0"/>
      </c:catAx>
      <c:valAx>
        <c:axId val="3204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Sheet1!$AA$1</c:f>
              <c:strCache>
                <c:ptCount val="1"/>
                <c:pt idx="0">
                  <c:v>charging_watt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Sheet1!$Z$2:$Z$17</c:f>
              <c:strCache>
                <c:ptCount val="16"/>
                <c:pt idx="0">
                  <c:v>Android</c:v>
                </c:pt>
                <c:pt idx="1">
                  <c:v>Android</c:v>
                </c:pt>
                <c:pt idx="2">
                  <c:v>Android</c:v>
                </c:pt>
                <c:pt idx="3">
                  <c:v>iOS</c:v>
                </c:pt>
                <c:pt idx="4">
                  <c:v>Android</c:v>
                </c:pt>
                <c:pt idx="5">
                  <c:v>iOS</c:v>
                </c:pt>
                <c:pt idx="6">
                  <c:v>Android</c:v>
                </c:pt>
                <c:pt idx="7">
                  <c:v>Android</c:v>
                </c:pt>
                <c:pt idx="8">
                  <c:v>Android</c:v>
                </c:pt>
                <c:pt idx="9">
                  <c:v>Android</c:v>
                </c:pt>
                <c:pt idx="10">
                  <c:v>iOS</c:v>
                </c:pt>
                <c:pt idx="11">
                  <c:v>Android</c:v>
                </c:pt>
                <c:pt idx="12">
                  <c:v>Android</c:v>
                </c:pt>
                <c:pt idx="13">
                  <c:v>Android</c:v>
                </c:pt>
                <c:pt idx="14">
                  <c:v>Android</c:v>
                </c:pt>
                <c:pt idx="15">
                  <c:v>Android</c:v>
                </c:pt>
              </c:strCache>
            </c:strRef>
          </c:cat>
          <c:val>
            <c:numRef>
              <c:f>Sheet1!$AA$2:$AA$17</c:f>
              <c:numCache>
                <c:formatCode>General</c:formatCode>
                <c:ptCount val="16"/>
                <c:pt idx="0">
                  <c:v>623</c:v>
                </c:pt>
                <c:pt idx="1">
                  <c:v>623</c:v>
                </c:pt>
                <c:pt idx="2">
                  <c:v>623</c:v>
                </c:pt>
                <c:pt idx="3">
                  <c:v>177</c:v>
                </c:pt>
                <c:pt idx="4">
                  <c:v>623</c:v>
                </c:pt>
                <c:pt idx="5">
                  <c:v>177</c:v>
                </c:pt>
                <c:pt idx="6">
                  <c:v>623</c:v>
                </c:pt>
                <c:pt idx="7">
                  <c:v>623</c:v>
                </c:pt>
                <c:pt idx="8">
                  <c:v>623</c:v>
                </c:pt>
                <c:pt idx="9">
                  <c:v>623</c:v>
                </c:pt>
                <c:pt idx="10">
                  <c:v>177</c:v>
                </c:pt>
                <c:pt idx="11">
                  <c:v>623</c:v>
                </c:pt>
                <c:pt idx="12">
                  <c:v>623</c:v>
                </c:pt>
                <c:pt idx="13">
                  <c:v>623</c:v>
                </c:pt>
                <c:pt idx="14">
                  <c:v>623</c:v>
                </c:pt>
                <c:pt idx="15">
                  <c:v>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D-4E72-B991-4F21FEB63A49}"/>
            </c:ext>
          </c:extLst>
        </c:ser>
        <c:ser>
          <c:idx val="1"/>
          <c:order val="1"/>
          <c:tx>
            <c:strRef>
              <c:f>Sheet1!$AB$1</c:f>
              <c:strCache>
                <c:ptCount val="1"/>
                <c:pt idx="0">
                  <c:v>display_size_inch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Sheet1!$Z$2:$Z$17</c:f>
              <c:strCache>
                <c:ptCount val="16"/>
                <c:pt idx="0">
                  <c:v>Android</c:v>
                </c:pt>
                <c:pt idx="1">
                  <c:v>Android</c:v>
                </c:pt>
                <c:pt idx="2">
                  <c:v>Android</c:v>
                </c:pt>
                <c:pt idx="3">
                  <c:v>iOS</c:v>
                </c:pt>
                <c:pt idx="4">
                  <c:v>Android</c:v>
                </c:pt>
                <c:pt idx="5">
                  <c:v>iOS</c:v>
                </c:pt>
                <c:pt idx="6">
                  <c:v>Android</c:v>
                </c:pt>
                <c:pt idx="7">
                  <c:v>Android</c:v>
                </c:pt>
                <c:pt idx="8">
                  <c:v>Android</c:v>
                </c:pt>
                <c:pt idx="9">
                  <c:v>Android</c:v>
                </c:pt>
                <c:pt idx="10">
                  <c:v>iOS</c:v>
                </c:pt>
                <c:pt idx="11">
                  <c:v>Android</c:v>
                </c:pt>
                <c:pt idx="12">
                  <c:v>Android</c:v>
                </c:pt>
                <c:pt idx="13">
                  <c:v>Android</c:v>
                </c:pt>
                <c:pt idx="14">
                  <c:v>Android</c:v>
                </c:pt>
                <c:pt idx="15">
                  <c:v>Android</c:v>
                </c:pt>
              </c:strCache>
            </c:strRef>
          </c:cat>
          <c:val>
            <c:numRef>
              <c:f>Sheet1!$AB$2:$AB$17</c:f>
              <c:numCache>
                <c:formatCode>General</c:formatCode>
                <c:ptCount val="16"/>
                <c:pt idx="0">
                  <c:v>81.399999999999991</c:v>
                </c:pt>
                <c:pt idx="1">
                  <c:v>81.399999999999991</c:v>
                </c:pt>
                <c:pt idx="2">
                  <c:v>81.399999999999991</c:v>
                </c:pt>
                <c:pt idx="3">
                  <c:v>20.8</c:v>
                </c:pt>
                <c:pt idx="4">
                  <c:v>81.399999999999991</c:v>
                </c:pt>
                <c:pt idx="5">
                  <c:v>20.8</c:v>
                </c:pt>
                <c:pt idx="6">
                  <c:v>81.399999999999991</c:v>
                </c:pt>
                <c:pt idx="7">
                  <c:v>81.399999999999991</c:v>
                </c:pt>
                <c:pt idx="8">
                  <c:v>81.399999999999991</c:v>
                </c:pt>
                <c:pt idx="9">
                  <c:v>81.399999999999991</c:v>
                </c:pt>
                <c:pt idx="10">
                  <c:v>20.8</c:v>
                </c:pt>
                <c:pt idx="11">
                  <c:v>81.399999999999991</c:v>
                </c:pt>
                <c:pt idx="12">
                  <c:v>81.399999999999991</c:v>
                </c:pt>
                <c:pt idx="13">
                  <c:v>81.399999999999991</c:v>
                </c:pt>
                <c:pt idx="14">
                  <c:v>81.399999999999991</c:v>
                </c:pt>
                <c:pt idx="15">
                  <c:v>81.399999999999991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D-4E72-B991-4F21FEB63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5815536"/>
        <c:axId val="1565813616"/>
        <c:axId val="0"/>
      </c:bar3DChart>
      <c:catAx>
        <c:axId val="1565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13616"/>
        <c:crosses val="autoZero"/>
        <c:auto val="1"/>
        <c:lblAlgn val="ctr"/>
        <c:lblOffset val="100"/>
        <c:noMultiLvlLbl val="0"/>
      </c:catAx>
      <c:valAx>
        <c:axId val="156581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1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0</xdr:row>
      <xdr:rowOff>45720</xdr:rowOff>
    </xdr:from>
    <xdr:to>
      <xdr:col>9</xdr:col>
      <xdr:colOff>411480</xdr:colOff>
      <xdr:row>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EA5B2-5B1E-9D4D-BDD2-151BA2EBD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556260</xdr:colOff>
      <xdr:row>0</xdr:row>
      <xdr:rowOff>160020</xdr:rowOff>
    </xdr:from>
    <xdr:to>
      <xdr:col>22</xdr:col>
      <xdr:colOff>434340</xdr:colOff>
      <xdr:row>9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E94B5B-951F-7557-3B97-F7050B8DC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350520</xdr:colOff>
      <xdr:row>1</xdr:row>
      <xdr:rowOff>0</xdr:rowOff>
    </xdr:from>
    <xdr:to>
      <xdr:col>33</xdr:col>
      <xdr:colOff>205740</xdr:colOff>
      <xdr:row>9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7C1600-37DD-B05C-7745-174668118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BF489E-160B-4213-B234-0E7D3DC85BDC}" autoFormatId="16" applyNumberFormats="0" applyBorderFormats="0" applyFontFormats="0" applyPatternFormats="0" applyAlignmentFormats="0" applyWidthHeightFormats="0">
  <queryTableRefresh nextId="16">
    <queryTableFields count="15">
      <queryTableField id="1" name="brand" tableColumnId="1"/>
      <queryTableField id="2" name="model" tableColumnId="2"/>
      <queryTableField id="3" name="price_usd" tableColumnId="3"/>
      <queryTableField id="4" name="ram_gb" tableColumnId="4"/>
      <queryTableField id="5" name="storage_gb" tableColumnId="5"/>
      <queryTableField id="6" name="camera_mp" tableColumnId="6"/>
      <queryTableField id="7" name="battery_mah" tableColumnId="7"/>
      <queryTableField id="8" name="display_size_inch" tableColumnId="8"/>
      <queryTableField id="9" name="charging_watt" tableColumnId="9"/>
      <queryTableField id="10" name="5g_support" tableColumnId="10"/>
      <queryTableField id="11" name="os" tableColumnId="11"/>
      <queryTableField id="12" name="processor" tableColumnId="12"/>
      <queryTableField id="13" name="rating" tableColumnId="13"/>
      <queryTableField id="14" name="release_month" tableColumnId="14"/>
      <queryTableField id="15" name="yea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23382-DD9A-4F79-A56B-E2639D41DAD1}" name="Global_Mobile_Prices_2025_Exten" displayName="Global_Mobile_Prices_2025_Exten" ref="A1:O17" tableType="queryTable" totalsRowShown="0">
  <autoFilter ref="A1:O17" xr:uid="{5D423382-DD9A-4F79-A56B-E2639D41DAD1}"/>
  <tableColumns count="15">
    <tableColumn id="1" xr3:uid="{6D44F56E-C477-4B57-9691-7CB99018D201}" uniqueName="1" name="brand" queryTableFieldId="1" dataDxfId="5"/>
    <tableColumn id="2" xr3:uid="{23715ACB-1F06-4CC1-868D-95B694E80D3D}" uniqueName="2" name="model" queryTableFieldId="2" dataDxfId="4"/>
    <tableColumn id="3" xr3:uid="{8A9DEFF5-4B04-45F3-91A7-F7817F527025}" uniqueName="3" name="price_usd" queryTableFieldId="3"/>
    <tableColumn id="4" xr3:uid="{CF4D7DFD-D38F-43E5-827A-1748FB792B03}" uniqueName="4" name="ram_gb" queryTableFieldId="4"/>
    <tableColumn id="5" xr3:uid="{BB33D02A-6E93-43C7-BCBB-598E0274CE14}" uniqueName="5" name="storage_gb" queryTableFieldId="5"/>
    <tableColumn id="6" xr3:uid="{88C963BE-1474-4965-B15F-71CFCC1416AB}" uniqueName="6" name="camera_mp" queryTableFieldId="6"/>
    <tableColumn id="7" xr3:uid="{CF8BD76E-96C7-4DAE-8689-3E6375BAB538}" uniqueName="7" name="battery_mah" queryTableFieldId="7"/>
    <tableColumn id="8" xr3:uid="{2B1CA7F8-D8BC-4138-AFE6-D890175B5711}" uniqueName="8" name="display_size_inch" queryTableFieldId="8"/>
    <tableColumn id="9" xr3:uid="{F866B00D-8EE3-4962-A710-18D10EDB02B9}" uniqueName="9" name="charging_watt" queryTableFieldId="9"/>
    <tableColumn id="10" xr3:uid="{0FA0D57D-4303-429A-B5AD-5FB1CFE2F7BF}" uniqueName="10" name="5g_support" queryTableFieldId="10" dataDxfId="3"/>
    <tableColumn id="11" xr3:uid="{56B52089-0175-497D-A14A-AF358204E5C5}" uniqueName="11" name="os" queryTableFieldId="11" dataDxfId="2"/>
    <tableColumn id="12" xr3:uid="{DB4DCD75-2C73-47BA-A66B-35E3B3B055B6}" uniqueName="12" name="processor" queryTableFieldId="12" dataDxfId="1"/>
    <tableColumn id="13" xr3:uid="{23CD6DF8-FE9D-4E61-B18A-C0B8D4A0AACE}" uniqueName="13" name="rating" queryTableFieldId="13"/>
    <tableColumn id="14" xr3:uid="{C660A5FA-854A-46DA-8C0D-697296C18C23}" uniqueName="14" name="release_month" queryTableFieldId="14" dataDxfId="0"/>
    <tableColumn id="15" xr3:uid="{002E2580-7F06-4545-8B87-F8005478724C}" uniqueName="15" name="year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E00F-E485-45BD-95F3-8BE20F65F406}">
  <dimension ref="A1:AB18"/>
  <sheetViews>
    <sheetView tabSelected="1" workbookViewId="0">
      <selection activeCell="C11" sqref="C11"/>
    </sheetView>
  </sheetViews>
  <sheetFormatPr defaultRowHeight="14.4" x14ac:dyDescent="0.3"/>
  <cols>
    <col min="1" max="1" width="8.33203125" customWidth="1"/>
    <col min="2" max="2" width="11.21875" customWidth="1"/>
    <col min="3" max="3" width="11.77734375" customWidth="1"/>
    <col min="12" max="12" width="18.33203125" bestFit="1" customWidth="1"/>
    <col min="15" max="15" width="20" bestFit="1" customWidth="1"/>
    <col min="16" max="16" width="11.33203125" bestFit="1" customWidth="1"/>
    <col min="18" max="18" width="9.6640625" bestFit="1" customWidth="1"/>
    <col min="25" max="25" width="8.5546875" customWidth="1"/>
    <col min="26" max="26" width="7.33203125" bestFit="1" customWidth="1"/>
    <col min="27" max="27" width="13" customWidth="1"/>
  </cols>
  <sheetData>
    <row r="1" spans="1:28" x14ac:dyDescent="0.3">
      <c r="A1" t="s">
        <v>0</v>
      </c>
      <c r="B1" s="1" t="s">
        <v>5</v>
      </c>
      <c r="C1" s="1" t="s">
        <v>6</v>
      </c>
      <c r="K1" s="3" t="s">
        <v>62</v>
      </c>
      <c r="L1" t="s">
        <v>11</v>
      </c>
      <c r="O1" t="s">
        <v>1</v>
      </c>
      <c r="P1" s="1" t="s">
        <v>2</v>
      </c>
      <c r="Q1" s="1" t="s">
        <v>3</v>
      </c>
      <c r="Z1" t="s">
        <v>10</v>
      </c>
      <c r="AA1" s="1" t="s">
        <v>8</v>
      </c>
      <c r="AB1" s="1" t="s">
        <v>7</v>
      </c>
    </row>
    <row r="2" spans="1:28" x14ac:dyDescent="0.3">
      <c r="A2" s="2" t="s">
        <v>15</v>
      </c>
      <c r="B2">
        <f>SUMIFS(global_mobile_prices!F:F,global_mobile_prices!A:A,Sheet1!A2,global_mobile_prices!L:L,Sheet1!K$1)</f>
        <v>108</v>
      </c>
      <c r="C2">
        <f>SUMIFS(global_mobile_prices!G:G,global_mobile_prices!A:A,Sheet1!A2,global_mobile_prices!L:L,Sheet1!K$1)</f>
        <v>6000</v>
      </c>
      <c r="L2" s="2" t="s">
        <v>19</v>
      </c>
      <c r="O2" s="2" t="s">
        <v>16</v>
      </c>
      <c r="P2">
        <f>SUMIFS(global_mobile_prices!C:C,global_mobile_prices!B:B,Sheet1!O2,global_mobile_prices!L:L,Sheet1!K$1)</f>
        <v>855</v>
      </c>
      <c r="Q2">
        <f>SUMIFS(global_mobile_prices!D:D,global_mobile_prices!B:B,Sheet1!O2,global_mobile_prices!L:L,Sheet1!K$1)</f>
        <v>16</v>
      </c>
      <c r="Z2" s="2" t="s">
        <v>18</v>
      </c>
      <c r="AA2">
        <f>SUMIFS(global_mobile_prices!I:I,global_mobile_prices!K:K,Sheet1!Z2,global_mobile_prices!L:L,Sheet1!K$1)</f>
        <v>623</v>
      </c>
      <c r="AB2">
        <f>SUMIFS(global_mobile_prices!H:H,global_mobile_prices!K:K,Sheet1!Z2,global_mobile_prices!L:L,Sheet1!K$1)</f>
        <v>81.399999999999991</v>
      </c>
    </row>
    <row r="3" spans="1:28" x14ac:dyDescent="0.3">
      <c r="A3" s="2" t="s">
        <v>21</v>
      </c>
      <c r="B3">
        <f>SUMIFS(global_mobile_prices!F:F,global_mobile_prices!A:A,Sheet1!A3,global_mobile_prices!L:L,Sheet1!K$1)</f>
        <v>172</v>
      </c>
      <c r="C3">
        <f>SUMIFS(global_mobile_prices!G:G,global_mobile_prices!A:A,Sheet1!A3,global_mobile_prices!L:L,Sheet1!K$1)</f>
        <v>8500</v>
      </c>
      <c r="L3" s="2" t="s">
        <v>23</v>
      </c>
      <c r="O3" s="2" t="s">
        <v>22</v>
      </c>
      <c r="P3">
        <f>SUMIFS(global_mobile_prices!C:C,global_mobile_prices!B:B,Sheet1!O3,global_mobile_prices!L:L,Sheet1!K$1)</f>
        <v>618</v>
      </c>
      <c r="Q3">
        <f>SUMIFS(global_mobile_prices!D:D,global_mobile_prices!B:B,Sheet1!O3,global_mobile_prices!L:L,Sheet1!K$1)</f>
        <v>6</v>
      </c>
      <c r="Z3" s="2" t="s">
        <v>18</v>
      </c>
      <c r="AA3">
        <f>SUMIFS(global_mobile_prices!I:I,global_mobile_prices!K:K,Sheet1!Z3,global_mobile_prices!L:L,Sheet1!K$1)</f>
        <v>623</v>
      </c>
      <c r="AB3">
        <f>SUMIFS(global_mobile_prices!H:H,global_mobile_prices!K:K,Sheet1!Z3,global_mobile_prices!L:L,Sheet1!K$1)</f>
        <v>81.399999999999991</v>
      </c>
    </row>
    <row r="4" spans="1:28" x14ac:dyDescent="0.3">
      <c r="A4" s="2" t="s">
        <v>25</v>
      </c>
      <c r="B4">
        <f>SUMIFS(global_mobile_prices!F:F,global_mobile_prices!A:A,Sheet1!A4,global_mobile_prices!L:L,Sheet1!K$1)</f>
        <v>64</v>
      </c>
      <c r="C4">
        <f>SUMIFS(global_mobile_prices!G:G,global_mobile_prices!A:A,Sheet1!A4,global_mobile_prices!L:L,Sheet1!K$1)</f>
        <v>4000</v>
      </c>
      <c r="L4" s="2" t="s">
        <v>27</v>
      </c>
      <c r="O4" s="2" t="s">
        <v>26</v>
      </c>
      <c r="P4">
        <f>SUMIFS(global_mobile_prices!C:C,global_mobile_prices!B:B,Sheet1!O4,global_mobile_prices!L:L,Sheet1!K$1)</f>
        <v>258</v>
      </c>
      <c r="Q4">
        <f>SUMIFS(global_mobile_prices!D:D,global_mobile_prices!B:B,Sheet1!O4,global_mobile_prices!L:L,Sheet1!K$1)</f>
        <v>16</v>
      </c>
      <c r="Z4" s="2" t="s">
        <v>18</v>
      </c>
      <c r="AA4">
        <f>SUMIFS(global_mobile_prices!I:I,global_mobile_prices!K:K,Sheet1!Z4,global_mobile_prices!L:L,Sheet1!K$1)</f>
        <v>623</v>
      </c>
      <c r="AB4">
        <f>SUMIFS(global_mobile_prices!H:H,global_mobile_prices!K:K,Sheet1!Z4,global_mobile_prices!L:L,Sheet1!K$1)</f>
        <v>81.399999999999991</v>
      </c>
    </row>
    <row r="5" spans="1:28" x14ac:dyDescent="0.3">
      <c r="A5" s="2" t="s">
        <v>29</v>
      </c>
      <c r="B5">
        <f>SUMIFS(global_mobile_prices!F:F,global_mobile_prices!A:A,Sheet1!A5,global_mobile_prices!L:L,Sheet1!K$1)</f>
        <v>276</v>
      </c>
      <c r="C5">
        <f>SUMIFS(global_mobile_prices!G:G,global_mobile_prices!A:A,Sheet1!A5,global_mobile_prices!L:L,Sheet1!K$1)</f>
        <v>14000</v>
      </c>
      <c r="L5" s="2" t="s">
        <v>32</v>
      </c>
      <c r="O5" s="2" t="s">
        <v>30</v>
      </c>
      <c r="P5">
        <f>SUMIFS(global_mobile_prices!C:C,global_mobile_prices!B:B,Sheet1!O5,global_mobile_prices!L:L,Sheet1!K$1)</f>
        <v>335</v>
      </c>
      <c r="Q5">
        <f>SUMIFS(global_mobile_prices!D:D,global_mobile_prices!B:B,Sheet1!O5,global_mobile_prices!L:L,Sheet1!K$1)</f>
        <v>12</v>
      </c>
      <c r="Z5" s="2" t="s">
        <v>31</v>
      </c>
      <c r="AA5">
        <f>SUMIFS(global_mobile_prices!I:I,global_mobile_prices!K:K,Sheet1!Z5,global_mobile_prices!L:L,Sheet1!K$1)</f>
        <v>177</v>
      </c>
      <c r="AB5">
        <f>SUMIFS(global_mobile_prices!H:H,global_mobile_prices!K:K,Sheet1!Z5,global_mobile_prices!L:L,Sheet1!K$1)</f>
        <v>20.8</v>
      </c>
    </row>
    <row r="6" spans="1:28" x14ac:dyDescent="0.3">
      <c r="A6" s="2" t="s">
        <v>33</v>
      </c>
      <c r="B6">
        <f>SUMIFS(global_mobile_prices!F:F,global_mobile_prices!A:A,Sheet1!A6,global_mobile_prices!L:L,Sheet1!K$1)</f>
        <v>664</v>
      </c>
      <c r="C6">
        <f>SUMIFS(global_mobile_prices!G:G,global_mobile_prices!A:A,Sheet1!A6,global_mobile_prices!L:L,Sheet1!K$1)</f>
        <v>20000</v>
      </c>
      <c r="L6" s="2" t="s">
        <v>36</v>
      </c>
      <c r="O6" s="2" t="s">
        <v>34</v>
      </c>
      <c r="P6">
        <f>SUMIFS(global_mobile_prices!C:C,global_mobile_prices!B:B,Sheet1!O6,global_mobile_prices!L:L,Sheet1!K$1)</f>
        <v>938</v>
      </c>
      <c r="Q6">
        <f>SUMIFS(global_mobile_prices!D:D,global_mobile_prices!B:B,Sheet1!O6,global_mobile_prices!L:L,Sheet1!K$1)</f>
        <v>16</v>
      </c>
      <c r="Z6" s="2" t="s">
        <v>18</v>
      </c>
      <c r="AA6">
        <f>SUMIFS(global_mobile_prices!I:I,global_mobile_prices!K:K,Sheet1!Z6,global_mobile_prices!L:L,Sheet1!K$1)</f>
        <v>623</v>
      </c>
      <c r="AB6">
        <f>SUMIFS(global_mobile_prices!H:H,global_mobile_prices!K:K,Sheet1!Z6,global_mobile_prices!L:L,Sheet1!K$1)</f>
        <v>81.399999999999991</v>
      </c>
    </row>
    <row r="7" spans="1:28" x14ac:dyDescent="0.3">
      <c r="A7" s="2" t="s">
        <v>40</v>
      </c>
      <c r="B7">
        <f>SUMIFS(global_mobile_prices!F:F,global_mobile_prices!A:A,Sheet1!A7,global_mobile_prices!L:L,Sheet1!K$1)</f>
        <v>212</v>
      </c>
      <c r="C7">
        <f>SUMIFS(global_mobile_prices!G:G,global_mobile_prices!A:A,Sheet1!A7,global_mobile_prices!L:L,Sheet1!K$1)</f>
        <v>10500</v>
      </c>
      <c r="L7" s="2" t="s">
        <v>36</v>
      </c>
      <c r="O7" s="2" t="s">
        <v>38</v>
      </c>
      <c r="P7">
        <f>SUMIFS(global_mobile_prices!C:C,global_mobile_prices!B:B,Sheet1!O7,global_mobile_prices!L:L,Sheet1!K$1)</f>
        <v>1447</v>
      </c>
      <c r="Q7">
        <f>SUMIFS(global_mobile_prices!D:D,global_mobile_prices!B:B,Sheet1!O7,global_mobile_prices!L:L,Sheet1!K$1)</f>
        <v>16</v>
      </c>
      <c r="Z7" s="2" t="s">
        <v>31</v>
      </c>
      <c r="AA7">
        <f>SUMIFS(global_mobile_prices!I:I,global_mobile_prices!K:K,Sheet1!Z7,global_mobile_prices!L:L,Sheet1!K$1)</f>
        <v>177</v>
      </c>
      <c r="AB7">
        <f>SUMIFS(global_mobile_prices!H:H,global_mobile_prices!K:K,Sheet1!Z7,global_mobile_prices!L:L,Sheet1!K$1)</f>
        <v>20.8</v>
      </c>
    </row>
    <row r="8" spans="1:28" x14ac:dyDescent="0.3">
      <c r="A8" s="2" t="s">
        <v>43</v>
      </c>
      <c r="B8">
        <f>SUMIFS(global_mobile_prices!F:F,global_mobile_prices!A:A,Sheet1!A8,global_mobile_prices!L:L,Sheet1!K$1)</f>
        <v>400</v>
      </c>
      <c r="C8">
        <f>SUMIFS(global_mobile_prices!G:G,global_mobile_prices!A:A,Sheet1!A8,global_mobile_prices!L:L,Sheet1!K$1)</f>
        <v>10000</v>
      </c>
      <c r="L8" s="2" t="s">
        <v>23</v>
      </c>
      <c r="O8" s="2" t="s">
        <v>41</v>
      </c>
      <c r="P8">
        <f>SUMIFS(global_mobile_prices!C:C,global_mobile_prices!B:B,Sheet1!O8,global_mobile_prices!L:L,Sheet1!K$1)</f>
        <v>1354</v>
      </c>
      <c r="Q8">
        <f>SUMIFS(global_mobile_prices!D:D,global_mobile_prices!B:B,Sheet1!O8,global_mobile_prices!L:L,Sheet1!K$1)</f>
        <v>6</v>
      </c>
      <c r="Z8" s="2" t="s">
        <v>18</v>
      </c>
      <c r="AA8">
        <f>SUMIFS(global_mobile_prices!I:I,global_mobile_prices!K:K,Sheet1!Z8,global_mobile_prices!L:L,Sheet1!K$1)</f>
        <v>623</v>
      </c>
      <c r="AB8">
        <f>SUMIFS(global_mobile_prices!H:H,global_mobile_prices!K:K,Sheet1!Z8,global_mobile_prices!L:L,Sheet1!K$1)</f>
        <v>81.399999999999991</v>
      </c>
    </row>
    <row r="9" spans="1:28" x14ac:dyDescent="0.3">
      <c r="A9" s="2" t="s">
        <v>56</v>
      </c>
      <c r="B9">
        <f>SUMIFS(global_mobile_prices!F:F,global_mobile_prices!A:A,Sheet1!A9,global_mobile_prices!L:L,Sheet1!K$1)</f>
        <v>12</v>
      </c>
      <c r="C9">
        <f>SUMIFS(global_mobile_prices!G:G,global_mobile_prices!A:A,Sheet1!A9,global_mobile_prices!L:L,Sheet1!K$1)</f>
        <v>6000</v>
      </c>
      <c r="L9" s="2" t="s">
        <v>19</v>
      </c>
      <c r="O9" s="2" t="s">
        <v>44</v>
      </c>
      <c r="P9">
        <f>SUMIFS(global_mobile_prices!C:C,global_mobile_prices!B:B,Sheet1!O9,global_mobile_prices!L:L,Sheet1!K$1)</f>
        <v>223</v>
      </c>
      <c r="Q9">
        <f>SUMIFS(global_mobile_prices!D:D,global_mobile_prices!B:B,Sheet1!O9,global_mobile_prices!L:L,Sheet1!K$1)</f>
        <v>8</v>
      </c>
      <c r="Z9" s="2" t="s">
        <v>18</v>
      </c>
      <c r="AA9">
        <f>SUMIFS(global_mobile_prices!I:I,global_mobile_prices!K:K,Sheet1!Z9,global_mobile_prices!L:L,Sheet1!K$1)</f>
        <v>623</v>
      </c>
      <c r="AB9">
        <f>SUMIFS(global_mobile_prices!H:H,global_mobile_prices!K:K,Sheet1!Z9,global_mobile_prices!L:L,Sheet1!K$1)</f>
        <v>81.399999999999991</v>
      </c>
    </row>
    <row r="10" spans="1:28" x14ac:dyDescent="0.3">
      <c r="L10" s="2" t="s">
        <v>36</v>
      </c>
      <c r="O10" s="2" t="s">
        <v>46</v>
      </c>
      <c r="P10">
        <f>SUMIFS(global_mobile_prices!C:C,global_mobile_prices!B:B,Sheet1!O10,global_mobile_prices!L:L,Sheet1!K$1)</f>
        <v>642</v>
      </c>
      <c r="Q10">
        <f>SUMIFS(global_mobile_prices!D:D,global_mobile_prices!B:B,Sheet1!O10,global_mobile_prices!L:L,Sheet1!K$1)</f>
        <v>8</v>
      </c>
      <c r="Z10" s="2" t="s">
        <v>18</v>
      </c>
      <c r="AA10">
        <f>SUMIFS(global_mobile_prices!I:I,global_mobile_prices!K:K,Sheet1!Z10,global_mobile_prices!L:L,Sheet1!K$1)</f>
        <v>623</v>
      </c>
      <c r="AB10">
        <f>SUMIFS(global_mobile_prices!H:H,global_mobile_prices!K:K,Sheet1!Z10,global_mobile_prices!L:L,Sheet1!K$1)</f>
        <v>81.399999999999991</v>
      </c>
    </row>
    <row r="11" spans="1:28" x14ac:dyDescent="0.3">
      <c r="L11" s="2" t="s">
        <v>49</v>
      </c>
      <c r="O11" s="2" t="s">
        <v>48</v>
      </c>
      <c r="P11">
        <f>SUMIFS(global_mobile_prices!C:C,global_mobile_prices!B:B,Sheet1!O11,global_mobile_prices!L:L,Sheet1!K$1)</f>
        <v>127</v>
      </c>
      <c r="Q11">
        <f>SUMIFS(global_mobile_prices!D:D,global_mobile_prices!B:B,Sheet1!O11,global_mobile_prices!L:L,Sheet1!K$1)</f>
        <v>16</v>
      </c>
      <c r="Z11" s="2" t="s">
        <v>18</v>
      </c>
      <c r="AA11">
        <f>SUMIFS(global_mobile_prices!I:I,global_mobile_prices!K:K,Sheet1!Z11,global_mobile_prices!L:L,Sheet1!K$1)</f>
        <v>623</v>
      </c>
      <c r="AB11">
        <f>SUMIFS(global_mobile_prices!H:H,global_mobile_prices!K:K,Sheet1!Z11,global_mobile_prices!L:L,Sheet1!K$1)</f>
        <v>81.399999999999991</v>
      </c>
    </row>
    <row r="12" spans="1:28" x14ac:dyDescent="0.3">
      <c r="L12" s="2" t="s">
        <v>52</v>
      </c>
      <c r="O12" s="2" t="s">
        <v>51</v>
      </c>
      <c r="P12">
        <f>SUMIFS(global_mobile_prices!C:C,global_mobile_prices!B:B,Sheet1!O12,global_mobile_prices!L:L,Sheet1!K$1)</f>
        <v>868</v>
      </c>
      <c r="Q12">
        <f>SUMIFS(global_mobile_prices!D:D,global_mobile_prices!B:B,Sheet1!O12,global_mobile_prices!L:L,Sheet1!K$1)</f>
        <v>4</v>
      </c>
      <c r="Z12" s="2" t="s">
        <v>31</v>
      </c>
      <c r="AA12">
        <f>SUMIFS(global_mobile_prices!I:I,global_mobile_prices!K:K,Sheet1!Z12,global_mobile_prices!L:L,Sheet1!K$1)</f>
        <v>177</v>
      </c>
      <c r="AB12">
        <f>SUMIFS(global_mobile_prices!H:H,global_mobile_prices!K:K,Sheet1!Z12,global_mobile_prices!L:L,Sheet1!K$1)</f>
        <v>20.8</v>
      </c>
    </row>
    <row r="13" spans="1:28" x14ac:dyDescent="0.3">
      <c r="L13" s="2" t="s">
        <v>23</v>
      </c>
      <c r="O13" s="2" t="s">
        <v>53</v>
      </c>
      <c r="P13">
        <f>SUMIFS(global_mobile_prices!C:C,global_mobile_prices!B:B,Sheet1!O13,global_mobile_prices!L:L,Sheet1!K$1)</f>
        <v>412</v>
      </c>
      <c r="Q13">
        <f>SUMIFS(global_mobile_prices!D:D,global_mobile_prices!B:B,Sheet1!O13,global_mobile_prices!L:L,Sheet1!K$1)</f>
        <v>4</v>
      </c>
      <c r="Z13" s="2" t="s">
        <v>18</v>
      </c>
      <c r="AA13">
        <f>SUMIFS(global_mobile_prices!I:I,global_mobile_prices!K:K,Sheet1!Z13,global_mobile_prices!L:L,Sheet1!K$1)</f>
        <v>623</v>
      </c>
      <c r="AB13">
        <f>SUMIFS(global_mobile_prices!H:H,global_mobile_prices!K:K,Sheet1!Z13,global_mobile_prices!L:L,Sheet1!K$1)</f>
        <v>81.399999999999991</v>
      </c>
    </row>
    <row r="14" spans="1:28" x14ac:dyDescent="0.3">
      <c r="L14" s="2" t="s">
        <v>23</v>
      </c>
      <c r="O14" s="2" t="s">
        <v>54</v>
      </c>
      <c r="P14">
        <f>SUMIFS(global_mobile_prices!C:C,global_mobile_prices!B:B,Sheet1!O14,global_mobile_prices!L:L,Sheet1!K$1)</f>
        <v>1032</v>
      </c>
      <c r="Q14">
        <f>SUMIFS(global_mobile_prices!D:D,global_mobile_prices!B:B,Sheet1!O14,global_mobile_prices!L:L,Sheet1!K$1)</f>
        <v>4</v>
      </c>
      <c r="Z14" s="2" t="s">
        <v>18</v>
      </c>
      <c r="AA14">
        <f>SUMIFS(global_mobile_prices!I:I,global_mobile_prices!K:K,Sheet1!Z14,global_mobile_prices!L:L,Sheet1!K$1)</f>
        <v>623</v>
      </c>
      <c r="AB14">
        <f>SUMIFS(global_mobile_prices!H:H,global_mobile_prices!K:K,Sheet1!Z14,global_mobile_prices!L:L,Sheet1!K$1)</f>
        <v>81.399999999999991</v>
      </c>
    </row>
    <row r="15" spans="1:28" x14ac:dyDescent="0.3">
      <c r="L15" s="2" t="s">
        <v>19</v>
      </c>
      <c r="O15" s="2" t="s">
        <v>57</v>
      </c>
      <c r="P15">
        <f>SUMIFS(global_mobile_prices!C:C,global_mobile_prices!B:B,Sheet1!O15,global_mobile_prices!L:L,Sheet1!K$1)</f>
        <v>1190</v>
      </c>
      <c r="Q15">
        <f>SUMIFS(global_mobile_prices!D:D,global_mobile_prices!B:B,Sheet1!O15,global_mobile_prices!L:L,Sheet1!K$1)</f>
        <v>4</v>
      </c>
      <c r="Z15" s="2" t="s">
        <v>18</v>
      </c>
      <c r="AA15">
        <f>SUMIFS(global_mobile_prices!I:I,global_mobile_prices!K:K,Sheet1!Z15,global_mobile_prices!L:L,Sheet1!K$1)</f>
        <v>623</v>
      </c>
      <c r="AB15">
        <f>SUMIFS(global_mobile_prices!H:H,global_mobile_prices!K:K,Sheet1!Z15,global_mobile_prices!L:L,Sheet1!K$1)</f>
        <v>81.399999999999991</v>
      </c>
    </row>
    <row r="16" spans="1:28" x14ac:dyDescent="0.3">
      <c r="L16" s="2" t="s">
        <v>60</v>
      </c>
      <c r="O16" s="2" t="s">
        <v>59</v>
      </c>
      <c r="P16">
        <f>SUMIFS(global_mobile_prices!C:C,global_mobile_prices!B:B,Sheet1!O16,global_mobile_prices!L:L,Sheet1!K$1)</f>
        <v>361</v>
      </c>
      <c r="Q16">
        <f>SUMIFS(global_mobile_prices!D:D,global_mobile_prices!B:B,Sheet1!O16,global_mobile_prices!L:L,Sheet1!K$1)</f>
        <v>6</v>
      </c>
      <c r="Z16" s="2" t="s">
        <v>18</v>
      </c>
      <c r="AA16">
        <f>SUMIFS(global_mobile_prices!I:I,global_mobile_prices!K:K,Sheet1!Z16,global_mobile_prices!L:L,Sheet1!K$1)</f>
        <v>623</v>
      </c>
      <c r="AB16">
        <f>SUMIFS(global_mobile_prices!H:H,global_mobile_prices!K:K,Sheet1!Z16,global_mobile_prices!L:L,Sheet1!K$1)</f>
        <v>81.399999999999991</v>
      </c>
    </row>
    <row r="17" spans="12:28" x14ac:dyDescent="0.3">
      <c r="L17" s="2" t="s">
        <v>36</v>
      </c>
      <c r="O17" s="2" t="s">
        <v>61</v>
      </c>
      <c r="P17">
        <f>SUMIFS(global_mobile_prices!C:C,global_mobile_prices!B:B,Sheet1!O17,global_mobile_prices!L:L,Sheet1!K$1)</f>
        <v>1497</v>
      </c>
      <c r="Q17">
        <f>SUMIFS(global_mobile_prices!D:D,global_mobile_prices!B:B,Sheet1!O17,global_mobile_prices!L:L,Sheet1!K$1)</f>
        <v>12</v>
      </c>
      <c r="Z17" s="2" t="s">
        <v>18</v>
      </c>
      <c r="AA17">
        <f>SUMIFS(global_mobile_prices!I:I,global_mobile_prices!K:K,Sheet1!Z17,global_mobile_prices!L:L,Sheet1!K$1)</f>
        <v>623</v>
      </c>
      <c r="AB17">
        <f>SUMIFS(global_mobile_prices!H:H,global_mobile_prices!K:K,Sheet1!Z17,global_mobile_prices!L:L,Sheet1!K$1)</f>
        <v>81.399999999999991</v>
      </c>
    </row>
    <row r="18" spans="12:28" x14ac:dyDescent="0.3">
      <c r="L18" s="2" t="s">
        <v>62</v>
      </c>
    </row>
  </sheetData>
  <dataValidations count="1">
    <dataValidation type="list" allowBlank="1" showInputMessage="1" showErrorMessage="1" sqref="K1" xr:uid="{AB35AC5B-D643-4702-9CAC-3F68F837723E}">
      <formula1>$L$2:$L$18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3E1E-D32D-4514-AD92-EDD6ED21B866}">
  <dimension ref="A1:O17"/>
  <sheetViews>
    <sheetView workbookViewId="0">
      <selection activeCell="H1" sqref="H1"/>
    </sheetView>
  </sheetViews>
  <sheetFormatPr defaultRowHeight="14.4" x14ac:dyDescent="0.3"/>
  <cols>
    <col min="1" max="1" width="8.21875" bestFit="1" customWidth="1"/>
    <col min="2" max="2" width="20" bestFit="1" customWidth="1"/>
    <col min="3" max="3" width="11.33203125" bestFit="1" customWidth="1"/>
    <col min="4" max="4" width="9.6640625" bestFit="1" customWidth="1"/>
    <col min="5" max="5" width="12.5546875" bestFit="1" customWidth="1"/>
    <col min="6" max="6" width="13.21875" bestFit="1" customWidth="1"/>
    <col min="7" max="7" width="14.109375" bestFit="1" customWidth="1"/>
    <col min="8" max="8" width="17.77734375" bestFit="1" customWidth="1"/>
    <col min="9" max="9" width="15.33203125" bestFit="1" customWidth="1"/>
    <col min="10" max="10" width="12.77734375" bestFit="1" customWidth="1"/>
    <col min="11" max="11" width="7.33203125" bestFit="1" customWidth="1"/>
    <col min="12" max="12" width="18.33203125" bestFit="1" customWidth="1"/>
    <col min="13" max="13" width="8.109375" bestFit="1" customWidth="1"/>
    <col min="14" max="14" width="15.88671875" bestFit="1" customWidth="1"/>
    <col min="15" max="15" width="6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2" t="s">
        <v>15</v>
      </c>
      <c r="B2" s="2" t="s">
        <v>16</v>
      </c>
      <c r="C2">
        <v>855</v>
      </c>
      <c r="D2">
        <v>16</v>
      </c>
      <c r="E2">
        <v>128</v>
      </c>
      <c r="F2">
        <v>108</v>
      </c>
      <c r="G2">
        <v>6000</v>
      </c>
      <c r="H2">
        <v>6.6</v>
      </c>
      <c r="I2">
        <v>33</v>
      </c>
      <c r="J2" s="2" t="s">
        <v>17</v>
      </c>
      <c r="K2" s="2" t="s">
        <v>18</v>
      </c>
      <c r="L2" s="2" t="s">
        <v>19</v>
      </c>
      <c r="M2">
        <v>3.8</v>
      </c>
      <c r="N2" s="2" t="s">
        <v>20</v>
      </c>
      <c r="O2">
        <v>2025</v>
      </c>
    </row>
    <row r="3" spans="1:15" x14ac:dyDescent="0.3">
      <c r="A3" s="2" t="s">
        <v>21</v>
      </c>
      <c r="B3" s="2" t="s">
        <v>22</v>
      </c>
      <c r="C3">
        <v>618</v>
      </c>
      <c r="D3">
        <v>6</v>
      </c>
      <c r="E3">
        <v>128</v>
      </c>
      <c r="F3">
        <v>64</v>
      </c>
      <c r="G3">
        <v>4500</v>
      </c>
      <c r="H3">
        <v>6.9</v>
      </c>
      <c r="I3">
        <v>100</v>
      </c>
      <c r="J3" s="2" t="s">
        <v>17</v>
      </c>
      <c r="K3" s="2" t="s">
        <v>18</v>
      </c>
      <c r="L3" s="2" t="s">
        <v>23</v>
      </c>
      <c r="M3">
        <v>4.4000000000000004</v>
      </c>
      <c r="N3" s="2" t="s">
        <v>24</v>
      </c>
      <c r="O3">
        <v>2025</v>
      </c>
    </row>
    <row r="4" spans="1:15" x14ac:dyDescent="0.3">
      <c r="A4" s="2" t="s">
        <v>25</v>
      </c>
      <c r="B4" s="2" t="s">
        <v>26</v>
      </c>
      <c r="C4">
        <v>258</v>
      </c>
      <c r="D4">
        <v>16</v>
      </c>
      <c r="E4">
        <v>64</v>
      </c>
      <c r="F4">
        <v>64</v>
      </c>
      <c r="G4">
        <v>4000</v>
      </c>
      <c r="H4">
        <v>6.8</v>
      </c>
      <c r="I4">
        <v>44</v>
      </c>
      <c r="J4" s="2" t="s">
        <v>17</v>
      </c>
      <c r="K4" s="2" t="s">
        <v>18</v>
      </c>
      <c r="L4" s="2" t="s">
        <v>27</v>
      </c>
      <c r="M4">
        <v>4.0999999999999996</v>
      </c>
      <c r="N4" s="2" t="s">
        <v>28</v>
      </c>
      <c r="O4">
        <v>2025</v>
      </c>
    </row>
    <row r="5" spans="1:15" x14ac:dyDescent="0.3">
      <c r="A5" s="2" t="s">
        <v>29</v>
      </c>
      <c r="B5" s="2" t="s">
        <v>30</v>
      </c>
      <c r="C5">
        <v>335</v>
      </c>
      <c r="D5">
        <v>12</v>
      </c>
      <c r="E5">
        <v>128</v>
      </c>
      <c r="F5">
        <v>200</v>
      </c>
      <c r="G5">
        <v>5000</v>
      </c>
      <c r="H5">
        <v>6.9</v>
      </c>
      <c r="I5">
        <v>100</v>
      </c>
      <c r="J5" s="2" t="s">
        <v>17</v>
      </c>
      <c r="K5" s="2" t="s">
        <v>31</v>
      </c>
      <c r="L5" s="2" t="s">
        <v>32</v>
      </c>
      <c r="M5">
        <v>3.5</v>
      </c>
      <c r="N5" s="2" t="s">
        <v>20</v>
      </c>
      <c r="O5">
        <v>2025</v>
      </c>
    </row>
    <row r="6" spans="1:15" x14ac:dyDescent="0.3">
      <c r="A6" s="2" t="s">
        <v>33</v>
      </c>
      <c r="B6" s="2" t="s">
        <v>34</v>
      </c>
      <c r="C6">
        <v>938</v>
      </c>
      <c r="D6">
        <v>16</v>
      </c>
      <c r="E6">
        <v>512</v>
      </c>
      <c r="F6">
        <v>200</v>
      </c>
      <c r="G6">
        <v>5000</v>
      </c>
      <c r="H6">
        <v>6.2</v>
      </c>
      <c r="I6">
        <v>120</v>
      </c>
      <c r="J6" s="2" t="s">
        <v>35</v>
      </c>
      <c r="K6" s="2" t="s">
        <v>18</v>
      </c>
      <c r="L6" s="2" t="s">
        <v>36</v>
      </c>
      <c r="M6">
        <v>3.7</v>
      </c>
      <c r="N6" s="2" t="s">
        <v>37</v>
      </c>
      <c r="O6">
        <v>2025</v>
      </c>
    </row>
    <row r="7" spans="1:15" x14ac:dyDescent="0.3">
      <c r="A7" s="2" t="s">
        <v>29</v>
      </c>
      <c r="B7" s="2" t="s">
        <v>38</v>
      </c>
      <c r="C7">
        <v>1447</v>
      </c>
      <c r="D7">
        <v>16</v>
      </c>
      <c r="E7">
        <v>64</v>
      </c>
      <c r="F7">
        <v>64</v>
      </c>
      <c r="G7">
        <v>4500</v>
      </c>
      <c r="H7">
        <v>6.7</v>
      </c>
      <c r="I7">
        <v>33</v>
      </c>
      <c r="J7" s="2" t="s">
        <v>17</v>
      </c>
      <c r="K7" s="2" t="s">
        <v>31</v>
      </c>
      <c r="L7" s="2" t="s">
        <v>36</v>
      </c>
      <c r="M7">
        <v>4.7</v>
      </c>
      <c r="N7" s="2" t="s">
        <v>39</v>
      </c>
      <c r="O7">
        <v>2025</v>
      </c>
    </row>
    <row r="8" spans="1:15" x14ac:dyDescent="0.3">
      <c r="A8" s="2" t="s">
        <v>40</v>
      </c>
      <c r="B8" s="2" t="s">
        <v>41</v>
      </c>
      <c r="C8">
        <v>1354</v>
      </c>
      <c r="D8">
        <v>6</v>
      </c>
      <c r="E8">
        <v>1024</v>
      </c>
      <c r="F8">
        <v>12</v>
      </c>
      <c r="G8">
        <v>5500</v>
      </c>
      <c r="H8">
        <v>5.7</v>
      </c>
      <c r="I8">
        <v>18</v>
      </c>
      <c r="J8" s="2" t="s">
        <v>17</v>
      </c>
      <c r="K8" s="2" t="s">
        <v>18</v>
      </c>
      <c r="L8" s="2" t="s">
        <v>23</v>
      </c>
      <c r="M8">
        <v>4</v>
      </c>
      <c r="N8" s="2" t="s">
        <v>42</v>
      </c>
      <c r="O8">
        <v>2025</v>
      </c>
    </row>
    <row r="9" spans="1:15" x14ac:dyDescent="0.3">
      <c r="A9" s="2" t="s">
        <v>43</v>
      </c>
      <c r="B9" s="2" t="s">
        <v>44</v>
      </c>
      <c r="C9">
        <v>223</v>
      </c>
      <c r="D9">
        <v>8</v>
      </c>
      <c r="E9">
        <v>512</v>
      </c>
      <c r="F9">
        <v>200</v>
      </c>
      <c r="G9">
        <v>5500</v>
      </c>
      <c r="H9">
        <v>6.3</v>
      </c>
      <c r="I9">
        <v>18</v>
      </c>
      <c r="J9" s="2" t="s">
        <v>17</v>
      </c>
      <c r="K9" s="2" t="s">
        <v>18</v>
      </c>
      <c r="L9" s="2" t="s">
        <v>19</v>
      </c>
      <c r="M9">
        <v>4.9000000000000004</v>
      </c>
      <c r="N9" s="2" t="s">
        <v>45</v>
      </c>
      <c r="O9">
        <v>2025</v>
      </c>
    </row>
    <row r="10" spans="1:15" x14ac:dyDescent="0.3">
      <c r="A10" s="2" t="s">
        <v>33</v>
      </c>
      <c r="B10" s="2" t="s">
        <v>46</v>
      </c>
      <c r="C10">
        <v>642</v>
      </c>
      <c r="D10">
        <v>8</v>
      </c>
      <c r="E10">
        <v>256</v>
      </c>
      <c r="F10">
        <v>200</v>
      </c>
      <c r="G10">
        <v>5500</v>
      </c>
      <c r="H10">
        <v>7.1</v>
      </c>
      <c r="I10">
        <v>33</v>
      </c>
      <c r="J10" s="2" t="s">
        <v>35</v>
      </c>
      <c r="K10" s="2" t="s">
        <v>18</v>
      </c>
      <c r="L10" s="2" t="s">
        <v>36</v>
      </c>
      <c r="M10">
        <v>4.2</v>
      </c>
      <c r="N10" s="2" t="s">
        <v>47</v>
      </c>
      <c r="O10">
        <v>2025</v>
      </c>
    </row>
    <row r="11" spans="1:15" x14ac:dyDescent="0.3">
      <c r="A11" s="2" t="s">
        <v>33</v>
      </c>
      <c r="B11" s="2" t="s">
        <v>48</v>
      </c>
      <c r="C11">
        <v>127</v>
      </c>
      <c r="D11">
        <v>16</v>
      </c>
      <c r="E11">
        <v>256</v>
      </c>
      <c r="F11">
        <v>200</v>
      </c>
      <c r="G11">
        <v>5500</v>
      </c>
      <c r="H11">
        <v>5.7</v>
      </c>
      <c r="I11">
        <v>44</v>
      </c>
      <c r="J11" s="2" t="s">
        <v>17</v>
      </c>
      <c r="K11" s="2" t="s">
        <v>18</v>
      </c>
      <c r="L11" s="2" t="s">
        <v>49</v>
      </c>
      <c r="M11">
        <v>5</v>
      </c>
      <c r="N11" s="2" t="s">
        <v>50</v>
      </c>
      <c r="O11">
        <v>2025</v>
      </c>
    </row>
    <row r="12" spans="1:15" x14ac:dyDescent="0.3">
      <c r="A12" s="2" t="s">
        <v>29</v>
      </c>
      <c r="B12" s="2" t="s">
        <v>51</v>
      </c>
      <c r="C12">
        <v>868</v>
      </c>
      <c r="D12">
        <v>4</v>
      </c>
      <c r="E12">
        <v>512</v>
      </c>
      <c r="F12">
        <v>12</v>
      </c>
      <c r="G12">
        <v>4500</v>
      </c>
      <c r="H12">
        <v>7.2</v>
      </c>
      <c r="I12">
        <v>44</v>
      </c>
      <c r="J12" s="2" t="s">
        <v>35</v>
      </c>
      <c r="K12" s="2" t="s">
        <v>31</v>
      </c>
      <c r="L12" s="2" t="s">
        <v>52</v>
      </c>
      <c r="M12">
        <v>4.5999999999999996</v>
      </c>
      <c r="N12" s="2" t="s">
        <v>45</v>
      </c>
      <c r="O12">
        <v>2025</v>
      </c>
    </row>
    <row r="13" spans="1:15" x14ac:dyDescent="0.3">
      <c r="A13" s="2" t="s">
        <v>43</v>
      </c>
      <c r="B13" s="2" t="s">
        <v>53</v>
      </c>
      <c r="C13">
        <v>412</v>
      </c>
      <c r="D13">
        <v>4</v>
      </c>
      <c r="E13">
        <v>512</v>
      </c>
      <c r="F13">
        <v>200</v>
      </c>
      <c r="G13">
        <v>4500</v>
      </c>
      <c r="H13">
        <v>6.3</v>
      </c>
      <c r="I13">
        <v>44</v>
      </c>
      <c r="J13" s="2" t="s">
        <v>35</v>
      </c>
      <c r="K13" s="2" t="s">
        <v>18</v>
      </c>
      <c r="L13" s="2" t="s">
        <v>23</v>
      </c>
      <c r="M13">
        <v>3.9</v>
      </c>
      <c r="N13" s="2" t="s">
        <v>47</v>
      </c>
      <c r="O13">
        <v>2025</v>
      </c>
    </row>
    <row r="14" spans="1:15" x14ac:dyDescent="0.3">
      <c r="A14" s="2" t="s">
        <v>40</v>
      </c>
      <c r="B14" s="2" t="s">
        <v>54</v>
      </c>
      <c r="C14">
        <v>1032</v>
      </c>
      <c r="D14">
        <v>4</v>
      </c>
      <c r="E14">
        <v>512</v>
      </c>
      <c r="F14">
        <v>200</v>
      </c>
      <c r="G14">
        <v>5000</v>
      </c>
      <c r="H14">
        <v>5.9</v>
      </c>
      <c r="I14">
        <v>100</v>
      </c>
      <c r="J14" s="2" t="s">
        <v>35</v>
      </c>
      <c r="K14" s="2" t="s">
        <v>18</v>
      </c>
      <c r="L14" s="2" t="s">
        <v>23</v>
      </c>
      <c r="M14">
        <v>4.8</v>
      </c>
      <c r="N14" s="2" t="s">
        <v>55</v>
      </c>
      <c r="O14">
        <v>2025</v>
      </c>
    </row>
    <row r="15" spans="1:15" x14ac:dyDescent="0.3">
      <c r="A15" s="2" t="s">
        <v>56</v>
      </c>
      <c r="B15" s="2" t="s">
        <v>57</v>
      </c>
      <c r="C15">
        <v>1190</v>
      </c>
      <c r="D15">
        <v>4</v>
      </c>
      <c r="E15">
        <v>256</v>
      </c>
      <c r="F15">
        <v>12</v>
      </c>
      <c r="G15">
        <v>6000</v>
      </c>
      <c r="H15">
        <v>6.1</v>
      </c>
      <c r="I15">
        <v>18</v>
      </c>
      <c r="J15" s="2" t="s">
        <v>17</v>
      </c>
      <c r="K15" s="2" t="s">
        <v>18</v>
      </c>
      <c r="L15" s="2" t="s">
        <v>19</v>
      </c>
      <c r="M15">
        <v>4.3</v>
      </c>
      <c r="N15" s="2" t="s">
        <v>58</v>
      </c>
      <c r="O15">
        <v>2025</v>
      </c>
    </row>
    <row r="16" spans="1:15" x14ac:dyDescent="0.3">
      <c r="A16" s="2" t="s">
        <v>21</v>
      </c>
      <c r="B16" s="2" t="s">
        <v>59</v>
      </c>
      <c r="C16">
        <v>361</v>
      </c>
      <c r="D16">
        <v>6</v>
      </c>
      <c r="E16">
        <v>256</v>
      </c>
      <c r="F16">
        <v>108</v>
      </c>
      <c r="G16">
        <v>4000</v>
      </c>
      <c r="H16">
        <v>6.1</v>
      </c>
      <c r="I16">
        <v>33</v>
      </c>
      <c r="J16" s="2" t="s">
        <v>35</v>
      </c>
      <c r="K16" s="2" t="s">
        <v>18</v>
      </c>
      <c r="L16" s="2" t="s">
        <v>60</v>
      </c>
      <c r="M16">
        <v>4.5</v>
      </c>
      <c r="N16" s="2" t="s">
        <v>39</v>
      </c>
      <c r="O16">
        <v>2025</v>
      </c>
    </row>
    <row r="17" spans="1:15" x14ac:dyDescent="0.3">
      <c r="A17" s="2" t="s">
        <v>33</v>
      </c>
      <c r="B17" s="2" t="s">
        <v>61</v>
      </c>
      <c r="C17">
        <v>1497</v>
      </c>
      <c r="D17">
        <v>12</v>
      </c>
      <c r="E17">
        <v>256</v>
      </c>
      <c r="F17">
        <v>64</v>
      </c>
      <c r="G17">
        <v>4000</v>
      </c>
      <c r="H17">
        <v>5.7</v>
      </c>
      <c r="I17">
        <v>18</v>
      </c>
      <c r="J17" s="2" t="s">
        <v>17</v>
      </c>
      <c r="K17" s="2" t="s">
        <v>18</v>
      </c>
      <c r="L17" s="2" t="s">
        <v>36</v>
      </c>
      <c r="M17">
        <v>3.6</v>
      </c>
      <c r="N17" s="2" t="s">
        <v>47</v>
      </c>
      <c r="O17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FDD90-4C97-4FEF-AF5E-BD478D4D95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global_mobile_prices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Hamsini M</dc:creator>
  <cp:lastModifiedBy>Hamsini M</cp:lastModifiedBy>
  <dcterms:created xsi:type="dcterms:W3CDTF">2025-11-27T02:53:47Z</dcterms:created>
  <dcterms:modified xsi:type="dcterms:W3CDTF">2025-11-27T12:57:14Z</dcterms:modified>
</cp:coreProperties>
</file>